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dora" state="visible" r:id="rId4"/>
    <sheet sheetId="2" name="Aranceles Comunes" state="visible" r:id="rId5"/>
    <sheet sheetId="3" name="Guía de Uso" state="visible" r:id="rId6"/>
  </sheets>
  <calcPr calcId="171027"/>
</workbook>
</file>

<file path=xl/sharedStrings.xml><?xml version="1.0" encoding="utf-8"?>
<sst xmlns="http://schemas.openxmlformats.org/spreadsheetml/2006/main" count="169" uniqueCount="153">
  <si>
    <t>📊 CALCULADORA DE COSTOS - IMPORTACIÓN DESDE CHINA</t>
  </si>
  <si>
    <t>Lámpara LED Escritorio</t>
  </si>
  <si>
    <t>País Origen</t>
  </si>
  <si>
    <t>China</t>
  </si>
  <si>
    <t>Puerto Origen</t>
  </si>
  <si>
    <t>Shanghai</t>
  </si>
  <si>
    <t>País Destino</t>
  </si>
  <si>
    <t>España</t>
  </si>
  <si>
    <t>Puerto Destino</t>
  </si>
  <si>
    <t>Valencia</t>
  </si>
  <si>
    <t>Moneda</t>
  </si>
  <si>
    <t>USD</t>
  </si>
  <si>
    <t>Tipo de Cambio USD/EUR</t>
  </si>
  <si>
    <t>SECCIÓN B: DATOS DEL PRODUCTO</t>
  </si>
  <si>
    <t>Precio FOB Unitario</t>
  </si>
  <si>
    <t>Cantidad Unidades</t>
  </si>
  <si>
    <t>Peso por Unidad (kg)</t>
  </si>
  <si>
    <t>Peso Total (kg)</t>
  </si>
  <si>
    <t>Volumen por Unidad (CBM)</t>
  </si>
  <si>
    <t>CBM = (largo×ancho×alto cm)/1,000,000</t>
  </si>
  <si>
    <t>Volumen Total (CBM)</t>
  </si>
  <si>
    <t>Valor FOB Total</t>
  </si>
  <si>
    <t>SECCIÓN C: COSTOS DE TRANSPORTE</t>
  </si>
  <si>
    <t>Método Transporte</t>
  </si>
  <si>
    <t>LCL</t>
  </si>
  <si>
    <t>LCL / FCL 20' / FCL 40' / Aéreo</t>
  </si>
  <si>
    <t>Tarifa LCL por CBM</t>
  </si>
  <si>
    <t>Típico: $80-150/m³</t>
  </si>
  <si>
    <t>Costo Freight LCL</t>
  </si>
  <si>
    <t>Tarifa Contenedor 20'</t>
  </si>
  <si>
    <t>Tarifa Contenedor 40'</t>
  </si>
  <si>
    <t>Costo Freight FCL</t>
  </si>
  <si>
    <t>Tarifa Aéreo por kg</t>
  </si>
  <si>
    <t>Costo Freight Aéreo</t>
  </si>
  <si>
    <t>THC Origen</t>
  </si>
  <si>
    <t>Documentación Exportación</t>
  </si>
  <si>
    <t>THC Destino</t>
  </si>
  <si>
    <t>Gestión Aduanas</t>
  </si>
  <si>
    <t>Transporte Interno (Destino)</t>
  </si>
  <si>
    <t>TOTAL SHIPPING</t>
  </si>
  <si>
    <t>SECCIÓN D: COSTOS ADUANALES</t>
  </si>
  <si>
    <t>Valor CIF</t>
  </si>
  <si>
    <t>FOB + Freight</t>
  </si>
  <si>
    <t>Seguro (0.5%)</t>
  </si>
  <si>
    <t>Valor CIF Ajustado</t>
  </si>
  <si>
    <t>Código Arancelario (TARIC)</t>
  </si>
  <si>
    <t>9405.4090</t>
  </si>
  <si>
    <t>Tasa Arancelaria</t>
  </si>
  <si>
    <t>Buscar en ec.europa.eu/taxation_customs</t>
  </si>
  <si>
    <t>Arancel (Duty)</t>
  </si>
  <si>
    <t>Tasa IVA</t>
  </si>
  <si>
    <t>España: 21%, México: 16%</t>
  </si>
  <si>
    <t>Base IVA</t>
  </si>
  <si>
    <t>IVA</t>
  </si>
  <si>
    <t>TOTAL IMPUESTOS</t>
  </si>
  <si>
    <t>SECCIÓN E: OTROS COSTOS</t>
  </si>
  <si>
    <t>Certificaciones (CE, FDA)</t>
  </si>
  <si>
    <t>Inspección QC (SGS, BV)</t>
  </si>
  <si>
    <t>Fotografía de Producto</t>
  </si>
  <si>
    <t>Packaging Customizado</t>
  </si>
  <si>
    <t>Imprevistos (5%)</t>
  </si>
  <si>
    <t>TOTAL OTROS COSTOS</t>
  </si>
  <si>
    <t>SECCIÓN F: RESUMEN FINAL ⭐</t>
  </si>
  <si>
    <t>Shipping Total</t>
  </si>
  <si>
    <t>Impuestos Total</t>
  </si>
  <si>
    <t>Otros Costos</t>
  </si>
  <si>
    <t>💰 COSTO TOTAL IMPORTACIÓN</t>
  </si>
  <si>
    <t>COSTO POR UNIDAD</t>
  </si>
  <si>
    <t>Costo por Unidad (EUR)</t>
  </si>
  <si>
    <t>━━━ ANÁLISIS MARGEN ━━━</t>
  </si>
  <si>
    <t>Precio Venta (tu input)</t>
  </si>
  <si>
    <t>Margen Bruto</t>
  </si>
  <si>
    <t>% Margen</t>
  </si>
  <si>
    <t>ROI</t>
  </si>
  <si>
    <t>HOJA 2: BASE ARANCELES COMUNES (Referencia)</t>
  </si>
  <si>
    <t>Categoría Producto</t>
  </si>
  <si>
    <t>Código TARIC</t>
  </si>
  <si>
    <t>Arancel UE</t>
  </si>
  <si>
    <t>Arancel MX</t>
  </si>
  <si>
    <t>Ejemplo</t>
  </si>
  <si>
    <t>Electrónica Consumer</t>
  </si>
  <si>
    <t>8517.6200</t>
  </si>
  <si>
    <t>0%</t>
  </si>
  <si>
    <t>0-5%</t>
  </si>
  <si>
    <t>Smartphones, tablets</t>
  </si>
  <si>
    <t>Textiles - Algodón</t>
  </si>
  <si>
    <t>6203.4200</t>
  </si>
  <si>
    <t>12%</t>
  </si>
  <si>
    <t>10%</t>
  </si>
  <si>
    <t>Pantalones</t>
  </si>
  <si>
    <t>Juguetes Plástico</t>
  </si>
  <si>
    <t>9503.0030</t>
  </si>
  <si>
    <t>4.7%</t>
  </si>
  <si>
    <t>0-15%</t>
  </si>
  <si>
    <t>Juguetes educativos</t>
  </si>
  <si>
    <t>Muebles Madera</t>
  </si>
  <si>
    <t>9403.6090</t>
  </si>
  <si>
    <t>10-15%</t>
  </si>
  <si>
    <t>Mesas, sillas</t>
  </si>
  <si>
    <t>Calzado Deportivo</t>
  </si>
  <si>
    <t>6402.9100</t>
  </si>
  <si>
    <t>16.9%</t>
  </si>
  <si>
    <t>25%</t>
  </si>
  <si>
    <t>Zapatillas</t>
  </si>
  <si>
    <t>Accesorios Móvil</t>
  </si>
  <si>
    <t>8517.7000</t>
  </si>
  <si>
    <t>Fundas, cables</t>
  </si>
  <si>
    <t>Iluminación LED</t>
  </si>
  <si>
    <t>3.7%</t>
  </si>
  <si>
    <t>5-10%</t>
  </si>
  <si>
    <t>Bombillas, lámparas</t>
  </si>
  <si>
    <t>Herramientas Mano</t>
  </si>
  <si>
    <t>8205.5900</t>
  </si>
  <si>
    <t>2.7%</t>
  </si>
  <si>
    <t>5%</t>
  </si>
  <si>
    <t>Destornilladores</t>
  </si>
  <si>
    <t>Productos Hogar</t>
  </si>
  <si>
    <t>3924.1000</t>
  </si>
  <si>
    <t>6.5%</t>
  </si>
  <si>
    <t>Utensilios cocina</t>
  </si>
  <si>
    <t>Cosméticos</t>
  </si>
  <si>
    <t>3304.9900</t>
  </si>
  <si>
    <t>Maquillaje</t>
  </si>
  <si>
    <t>HOJA 3: GUÍA DE USO</t>
  </si>
  <si>
    <t/>
  </si>
  <si>
    <t>PASO 1: Información Básica</t>
  </si>
  <si>
    <t>1. Rellena nombre producto (B2)</t>
  </si>
  <si>
    <t>2. Selecciona puertos origen/destino (B3-B6)</t>
  </si>
  <si>
    <t>3. Actualiza tipo cambio si usas EUR (B8) - ver: https://www.xe.com</t>
  </si>
  <si>
    <t>PASO 2: Datos Producto</t>
  </si>
  <si>
    <t>1. Ingresa precio FOB que te cotizó proveedor (B13)</t>
  </si>
  <si>
    <t>2. Cantidad unidades que vas a pedir (B14)</t>
  </si>
  <si>
    <t>3. Peso unitario en kg (B15) - pregunta al proveedor</t>
  </si>
  <si>
    <t>4. Volumen unitario CBM (B17) - calcula: (largo×ancho×alto cm)/1,000,000</t>
  </si>
  <si>
    <t>PASO 3: Método Transporte</t>
  </si>
  <si>
    <t>1. Selecciona método (B23): LCL (poco volumen), FCL (contenedor completo), o Aéreo</t>
  </si>
  <si>
    <t>2. Ingresa tarifas según método</t>
  </si>
  <si>
    <t>PASO 4: Costos Logística</t>
  </si>
  <si>
    <t>Ingresa costos (B31-B35): THC, documentación, gestión aduanas, transporte interno</t>
  </si>
  <si>
    <t>PASO 5: Aranceles e IVA</t>
  </si>
  <si>
    <t>1. Busca código TARIC: https://ec.europa.eu/taxation_customs/dds2/taric</t>
  </si>
  <si>
    <t>2. Ingresa código (B42) y % arancel (B43)</t>
  </si>
  <si>
    <t>3. Ingresa % IVA (B45) - España: 21%, México: 16%</t>
  </si>
  <si>
    <t>PASO 6: Otros Costos (Opcionales)</t>
  </si>
  <si>
    <t>Certificación CE, inspección QC, fotos, packaging custom</t>
  </si>
  <si>
    <t>PASO 7: Análisis Margen</t>
  </si>
  <si>
    <t>1. Ingresa precio venta estimado (B68)</t>
  </si>
  <si>
    <t>2. Calculadora muestra margen bruto, % margen, y ROI</t>
  </si>
  <si>
    <t>REGLAS DE ORO MARGEN:</t>
  </si>
  <si>
    <t>- Mínimo aceptable: 40-50%</t>
  </si>
  <si>
    <t>- Óptimo: 60-100%</t>
  </si>
  <si>
    <t>- Premium: &gt;100%</t>
  </si>
  <si>
    <t>Si margen &lt;40% → producto NO es viable (a menos que sea alto volumen)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</si>
</sst>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$#,##0.00"/>
    <numFmt numFmtId="165" formatCode="0.000"/>
    <numFmt numFmtId="166" formatCode="$#,##0"/>
    <numFmt numFmtId="167" formatCode="0.0%"/>
    <numFmt numFmtId="168" formatCode="€#,##0.00"/>
    <numFmt numFmtId="169" formatCode="0.0&quot;%&quot;"/>
  </numFmts>
  <fonts count="8" x14ac:knownFonts="1">
    <font>
      <color theme="1"/>
      <family val="2"/>
      <scheme val="minor"/>
      <sz val="11"/>
      <name val="Calibri"/>
    </font>
    <font>
      <b/>
      <color rgb="FF0d9488"/>
      <sz val="14"/>
    </font>
    <font>
      <b/>
      <sz val="12"/>
    </font>
    <font>
      <i/>
      <color rgb="FF6b7280"/>
      <sz val="9"/>
    </font>
    <font>
      <b/>
    </font>
    <font>
      <i/>
      <sz val="9"/>
    </font>
    <font>
      <b/>
      <color rgb="FFFFFFFF"/>
      <sz val="14"/>
    </font>
    <font>
      <b/>
      <sz val="14"/>
    </font>
  </fonts>
  <fills count="11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3b82f6"/>
      </patternFill>
    </fill>
    <fill>
      <patternFill patternType="solid">
        <fgColor rgb="FFdbeafe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0d9488"/>
      </patternFill>
    </fill>
    <fill>
      <patternFill patternType="solid">
        <fgColor rgb="FF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  <xf numFmtId="0" fontId="2" fillId="3" borderId="0" xfId="0" applyFont="1" applyFill="1"/>
    <xf numFmtId="164" fontId="0" fillId="2" borderId="0" xfId="0" applyNumberFormat="1" applyFill="1"/>
    <xf numFmtId="3" fontId="0" fillId="2" borderId="0" xfId="0" applyNumberFormat="1" applyFill="1"/>
    <xf numFmtId="4" fontId="0" fillId="4" borderId="0" xfId="0" applyNumberFormat="1" applyFill="1"/>
    <xf numFmtId="165" fontId="0" fillId="2" borderId="0" xfId="0" applyNumberFormat="1" applyFill="1"/>
    <xf numFmtId="0" fontId="3" fillId="0" borderId="0" xfId="0" applyFont="1"/>
    <xf numFmtId="2" fontId="0" fillId="4" borderId="0" xfId="0" applyNumberFormat="1" applyFill="1"/>
    <xf numFmtId="164" fontId="4" fillId="4" borderId="0" xfId="0" applyNumberFormat="1" applyFont="1" applyFill="1"/>
    <xf numFmtId="0" fontId="2" fillId="5" borderId="0" xfId="0" applyFont="1" applyFill="1"/>
    <xf numFmtId="0" fontId="5" fillId="0" borderId="0" xfId="0" applyFont="1"/>
    <xf numFmtId="166" fontId="0" fillId="2" borderId="0" xfId="0" applyNumberFormat="1" applyFill="1"/>
    <xf numFmtId="164" fontId="0" fillId="4" borderId="0" xfId="0" applyNumberFormat="1" applyFill="1"/>
    <xf numFmtId="164" fontId="4" fillId="6" borderId="0" xfId="0" applyNumberFormat="1" applyFont="1" applyFill="1"/>
    <xf numFmtId="0" fontId="2" fillId="7" borderId="0" xfId="0" applyFont="1" applyFill="1"/>
    <xf numFmtId="167" fontId="0" fillId="2" borderId="0" xfId="0" applyNumberFormat="1" applyFill="1"/>
    <xf numFmtId="0" fontId="2" fillId="8" borderId="0" xfId="0" applyFont="1" applyFill="1"/>
    <xf numFmtId="0" fontId="6" fillId="9" borderId="0" xfId="0" applyFont="1" applyFill="1"/>
    <xf numFmtId="164" fontId="0" fillId="0" borderId="0" xfId="0" applyNumberFormat="1"/>
    <xf numFmtId="164" fontId="7" fillId="5" borderId="0" xfId="0" applyNumberFormat="1" applyFont="1" applyFill="1"/>
    <xf numFmtId="168" fontId="0" fillId="4" borderId="0" xfId="0" applyNumberFormat="1" applyFill="1"/>
    <xf numFmtId="0" fontId="2" fillId="0" borderId="0" xfId="0" applyFont="1"/>
    <xf numFmtId="168" fontId="0" fillId="2" borderId="0" xfId="0" applyNumberFormat="1" applyFill="1"/>
    <xf numFmtId="169" fontId="4" fillId="4" borderId="0" xfId="0" applyNumberFormat="1" applyFont="1" applyFill="1"/>
    <xf numFmtId="0" fontId="7" fillId="0" borderId="0" xfId="0" applyFont="1"/>
    <xf numFmtId="0" fontId="4" fillId="1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FormatPr defaultRowHeight="15" outlineLevelRow="0" outlineLevelCol="0" x14ac:dyDescent="55"/>
  <cols>
    <col min="1" max="1" width="35" customWidth="1"/>
    <col min="2" max="2" width="20" customWidth="1"/>
    <col min="3" max="3" width="4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5" spans="1:2" x14ac:dyDescent="0.25">
      <c r="A5" t="s">
        <v>6</v>
      </c>
      <c r="B5" s="3" t="s">
        <v>7</v>
      </c>
    </row>
    <row r="6" spans="1:2" x14ac:dyDescent="0.25">
      <c r="A6" t="s">
        <v>8</v>
      </c>
      <c r="B6" s="3" t="s">
        <v>9</v>
      </c>
    </row>
    <row r="7" spans="1:2" x14ac:dyDescent="0.25">
      <c r="A7" t="s">
        <v>10</v>
      </c>
      <c r="B7" s="3" t="s">
        <v>11</v>
      </c>
    </row>
    <row r="8" spans="1:2" x14ac:dyDescent="0.25">
      <c r="A8" t="s">
        <v>12</v>
      </c>
      <c r="B8" s="4">
        <v>0.92</v>
      </c>
    </row>
    <row r="12" spans="1:2" x14ac:dyDescent="0.25">
      <c r="A12" s="5" t="s">
        <v>13</v>
      </c>
      <c r="B12" s="5"/>
    </row>
    <row r="13" spans="1:2" x14ac:dyDescent="0.25">
      <c r="A13" t="s">
        <v>14</v>
      </c>
      <c r="B13" s="6">
        <v>8.5</v>
      </c>
    </row>
    <row r="14" spans="1:2" x14ac:dyDescent="0.25">
      <c r="A14" t="s">
        <v>15</v>
      </c>
      <c r="B14" s="7">
        <v>1000</v>
      </c>
    </row>
    <row r="15" spans="1:2" x14ac:dyDescent="0.25">
      <c r="A15" t="s">
        <v>16</v>
      </c>
      <c r="B15" s="4">
        <v>0.8</v>
      </c>
    </row>
    <row r="16" spans="1:2" x14ac:dyDescent="0.25">
      <c r="A16" t="s">
        <v>17</v>
      </c>
      <c r="B16" s="8">
        <f>B14*B15</f>
      </c>
    </row>
    <row r="17" spans="1:3" x14ac:dyDescent="0.25">
      <c r="A17" t="s">
        <v>18</v>
      </c>
      <c r="B17" s="9">
        <v>0.015</v>
      </c>
      <c r="C17" s="10" t="s">
        <v>19</v>
      </c>
    </row>
    <row r="18" spans="1:2" x14ac:dyDescent="0.25">
      <c r="A18" t="s">
        <v>20</v>
      </c>
      <c r="B18" s="11">
        <f>B14*B17</f>
      </c>
    </row>
    <row r="19" spans="1:2" x14ac:dyDescent="0.25">
      <c r="A19" t="s">
        <v>21</v>
      </c>
      <c r="B19" s="12">
        <f>B13*B14</f>
      </c>
    </row>
    <row r="22" spans="1:2" x14ac:dyDescent="0.25">
      <c r="A22" s="13" t="s">
        <v>22</v>
      </c>
      <c r="B22" s="13"/>
    </row>
    <row r="23" spans="1:3" x14ac:dyDescent="0.25">
      <c r="A23" t="s">
        <v>23</v>
      </c>
      <c r="B23" s="3" t="s">
        <v>24</v>
      </c>
      <c r="C23" s="14" t="s">
        <v>25</v>
      </c>
    </row>
    <row r="24" spans="1:3" x14ac:dyDescent="0.25">
      <c r="A24" t="s">
        <v>26</v>
      </c>
      <c r="B24" s="15">
        <v>120</v>
      </c>
      <c r="C24" s="14" t="s">
        <v>27</v>
      </c>
    </row>
    <row r="25" spans="1:2" x14ac:dyDescent="0.25">
      <c r="A25" t="s">
        <v>28</v>
      </c>
      <c r="B25" s="16">
        <f>IF(B23="LCL", B18*B24, 0)</f>
      </c>
    </row>
    <row r="26" spans="1:2" x14ac:dyDescent="0.25">
      <c r="A26" t="s">
        <v>29</v>
      </c>
      <c r="B26" s="15">
        <v>2200</v>
      </c>
    </row>
    <row r="27" spans="1:2" x14ac:dyDescent="0.25">
      <c r="A27" t="s">
        <v>30</v>
      </c>
      <c r="B27" s="15">
        <v>3500</v>
      </c>
    </row>
    <row r="28" spans="1:2" x14ac:dyDescent="0.25">
      <c r="A28" t="s">
        <v>31</v>
      </c>
      <c r="B28" s="16">
        <f>IF(B23="FCL 20'", B26, IF(B23="FCL 40'", B27, 0))</f>
      </c>
    </row>
    <row r="29" spans="1:2" x14ac:dyDescent="0.25">
      <c r="A29" t="s">
        <v>32</v>
      </c>
      <c r="B29" s="6">
        <v>5</v>
      </c>
    </row>
    <row r="30" spans="1:2" x14ac:dyDescent="0.25">
      <c r="A30" t="s">
        <v>33</v>
      </c>
      <c r="B30" s="16">
        <f>IF(B23="Aéreo", B16*B29, 0)</f>
      </c>
    </row>
    <row r="31" spans="1:2" x14ac:dyDescent="0.25">
      <c r="A31" t="s">
        <v>34</v>
      </c>
      <c r="B31" s="15">
        <v>150</v>
      </c>
    </row>
    <row r="32" spans="1:2" x14ac:dyDescent="0.25">
      <c r="A32" t="s">
        <v>35</v>
      </c>
      <c r="B32" s="15">
        <v>100</v>
      </c>
    </row>
    <row r="33" spans="1:2" x14ac:dyDescent="0.25">
      <c r="A33" t="s">
        <v>36</v>
      </c>
      <c r="B33" s="15">
        <v>300</v>
      </c>
    </row>
    <row r="34" spans="1:2" x14ac:dyDescent="0.25">
      <c r="A34" t="s">
        <v>37</v>
      </c>
      <c r="B34" s="15">
        <v>400</v>
      </c>
    </row>
    <row r="35" spans="1:2" x14ac:dyDescent="0.25">
      <c r="A35" t="s">
        <v>38</v>
      </c>
      <c r="B35" s="15">
        <v>200</v>
      </c>
    </row>
    <row r="36" spans="1:2" x14ac:dyDescent="0.25">
      <c r="A36" t="s">
        <v>39</v>
      </c>
      <c r="B36" s="17">
        <f>B25+B28+B30+B31+B32+B33+B34+B35</f>
      </c>
    </row>
    <row r="38" spans="1:2" x14ac:dyDescent="0.25">
      <c r="A38" s="18" t="s">
        <v>40</v>
      </c>
      <c r="B38" s="18"/>
    </row>
    <row r="39" spans="1:3" x14ac:dyDescent="0.25">
      <c r="A39" t="s">
        <v>41</v>
      </c>
      <c r="B39" s="16">
        <f>B19+B36</f>
      </c>
      <c r="C39" s="14" t="s">
        <v>42</v>
      </c>
    </row>
    <row r="40" spans="1:2" x14ac:dyDescent="0.25">
      <c r="A40" t="s">
        <v>43</v>
      </c>
      <c r="B40" s="16">
        <f>B19*0.005</f>
      </c>
    </row>
    <row r="41" spans="1:2" x14ac:dyDescent="0.25">
      <c r="A41" t="s">
        <v>44</v>
      </c>
      <c r="B41" s="12">
        <f>B39+B40</f>
      </c>
    </row>
    <row r="42" spans="1:2" x14ac:dyDescent="0.25">
      <c r="A42" t="s">
        <v>45</v>
      </c>
      <c r="B42" s="3" t="s">
        <v>46</v>
      </c>
    </row>
    <row r="43" spans="1:3" x14ac:dyDescent="0.25">
      <c r="A43" t="s">
        <v>47</v>
      </c>
      <c r="B43" s="19">
        <v>0.037</v>
      </c>
      <c r="C43" s="14" t="s">
        <v>48</v>
      </c>
    </row>
    <row r="44" spans="1:2" x14ac:dyDescent="0.25">
      <c r="A44" t="s">
        <v>49</v>
      </c>
      <c r="B44" s="12">
        <f>B41*B43</f>
      </c>
    </row>
    <row r="45" spans="1:3" x14ac:dyDescent="0.25">
      <c r="A45" t="s">
        <v>50</v>
      </c>
      <c r="B45" s="19">
        <v>0.21</v>
      </c>
      <c r="C45" s="14" t="s">
        <v>51</v>
      </c>
    </row>
    <row r="46" spans="1:2" x14ac:dyDescent="0.25">
      <c r="A46" t="s">
        <v>52</v>
      </c>
      <c r="B46" s="16">
        <f>B41+B44</f>
      </c>
    </row>
    <row r="47" spans="1:2" x14ac:dyDescent="0.25">
      <c r="A47" t="s">
        <v>53</v>
      </c>
      <c r="B47" s="12">
        <f>B46*B45</f>
      </c>
    </row>
    <row r="48" spans="1:2" x14ac:dyDescent="0.25">
      <c r="A48" t="s">
        <v>54</v>
      </c>
      <c r="B48" s="17">
        <f>B44+B47</f>
      </c>
    </row>
    <row r="50" spans="1:2" x14ac:dyDescent="0.25">
      <c r="A50" s="20" t="s">
        <v>55</v>
      </c>
      <c r="B50" s="20"/>
    </row>
    <row r="51" spans="1:2" x14ac:dyDescent="0.25">
      <c r="A51" t="s">
        <v>56</v>
      </c>
      <c r="B51" s="15">
        <v>800</v>
      </c>
    </row>
    <row r="52" spans="1:2" x14ac:dyDescent="0.25">
      <c r="A52" t="s">
        <v>57</v>
      </c>
      <c r="B52" s="15">
        <v>300</v>
      </c>
    </row>
    <row r="53" spans="1:2" x14ac:dyDescent="0.25">
      <c r="A53" t="s">
        <v>58</v>
      </c>
      <c r="B53" s="15">
        <v>200</v>
      </c>
    </row>
    <row r="54" spans="1:2" x14ac:dyDescent="0.25">
      <c r="A54" t="s">
        <v>59</v>
      </c>
      <c r="B54" s="15">
        <v>0</v>
      </c>
    </row>
    <row r="55" spans="1:2" x14ac:dyDescent="0.25">
      <c r="A55" t="s">
        <v>60</v>
      </c>
      <c r="B55" s="16">
        <f>(B19+B36+B48)*0.05</f>
      </c>
    </row>
    <row r="56" spans="1:2" x14ac:dyDescent="0.25">
      <c r="A56" t="s">
        <v>61</v>
      </c>
      <c r="B56" s="17">
        <f>B51+B52+B53+B54+B55</f>
      </c>
    </row>
    <row r="58" spans="1:2" x14ac:dyDescent="0.25">
      <c r="A58" s="21" t="s">
        <v>62</v>
      </c>
      <c r="B58" s="21"/>
    </row>
    <row r="59" spans="1:2" x14ac:dyDescent="0.25">
      <c r="A59" t="s">
        <v>21</v>
      </c>
      <c r="B59" s="22">
        <f>B19</f>
      </c>
    </row>
    <row r="60" spans="1:2" x14ac:dyDescent="0.25">
      <c r="A60" t="s">
        <v>63</v>
      </c>
      <c r="B60" s="22">
        <f>B36</f>
      </c>
    </row>
    <row r="61" spans="1:2" x14ac:dyDescent="0.25">
      <c r="A61" t="s">
        <v>64</v>
      </c>
      <c r="B61" s="22">
        <f>B48</f>
      </c>
    </row>
    <row r="62" spans="1:2" x14ac:dyDescent="0.25">
      <c r="A62" t="s">
        <v>65</v>
      </c>
      <c r="B62" s="22">
        <f>B56</f>
      </c>
    </row>
    <row r="63" spans="1:2" x14ac:dyDescent="0.25">
      <c r="A63" t="s">
        <v>66</v>
      </c>
      <c r="B63" s="23">
        <f>B59+B60+B61+B62</f>
      </c>
    </row>
    <row r="64" spans="1:2" x14ac:dyDescent="0.25">
      <c r="A64" t="s">
        <v>67</v>
      </c>
      <c r="B64" s="23">
        <f>B63/B14</f>
      </c>
    </row>
    <row r="65" spans="1:2" x14ac:dyDescent="0.25">
      <c r="A65" t="s">
        <v>68</v>
      </c>
      <c r="B65" s="24">
        <f>B64*B8</f>
      </c>
    </row>
    <row r="67" spans="1:2" x14ac:dyDescent="0.25">
      <c r="A67" s="25" t="s">
        <v>69</v>
      </c>
      <c r="B67" s="25"/>
    </row>
    <row r="68" spans="1:2" x14ac:dyDescent="0.25">
      <c r="A68" t="s">
        <v>70</v>
      </c>
      <c r="B68" s="26">
        <v>39.9</v>
      </c>
    </row>
    <row r="69" spans="1:2" x14ac:dyDescent="0.25">
      <c r="A69" t="s">
        <v>71</v>
      </c>
      <c r="B69" s="24">
        <f>B68-B65</f>
      </c>
    </row>
    <row r="70" spans="1:2" x14ac:dyDescent="0.25">
      <c r="A70" t="s">
        <v>72</v>
      </c>
      <c r="B70" s="27">
        <f>(B69/B68)*100</f>
      </c>
    </row>
    <row r="71" spans="1:2" x14ac:dyDescent="0.25">
      <c r="A71" t="s">
        <v>73</v>
      </c>
      <c r="B71" s="27">
        <f>(B69/B65)*100</f>
      </c>
    </row>
  </sheetData>
  <mergeCells count="8">
    <mergeCell ref="A1:B1"/>
    <mergeCell ref="A2:B2"/>
    <mergeCell ref="A12:B12"/>
    <mergeCell ref="A22:B22"/>
    <mergeCell ref="A38:B38"/>
    <mergeCell ref="A50:B50"/>
    <mergeCell ref="A58:B58"/>
    <mergeCell ref="A67:B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30" customWidth="1"/>
  </cols>
  <sheetData>
    <row r="1" spans="1:5" x14ac:dyDescent="0.25">
      <c r="A1" s="28" t="s">
        <v>74</v>
      </c>
      <c r="B1" s="28"/>
      <c r="C1" s="28"/>
      <c r="D1" s="28"/>
      <c r="E1" s="28"/>
    </row>
    <row r="3" spans="1:5" s="29" customFormat="1" x14ac:dyDescent="0.25">
      <c r="A3" s="29" t="s">
        <v>75</v>
      </c>
      <c r="B3" s="29" t="s">
        <v>76</v>
      </c>
      <c r="C3" s="29" t="s">
        <v>77</v>
      </c>
      <c r="D3" s="29" t="s">
        <v>78</v>
      </c>
      <c r="E3" s="29" t="s">
        <v>79</v>
      </c>
    </row>
    <row r="4" spans="1:5" x14ac:dyDescent="0.25">
      <c r="A4" t="s">
        <v>80</v>
      </c>
      <c r="B4" t="s">
        <v>81</v>
      </c>
      <c r="C4" t="s">
        <v>82</v>
      </c>
      <c r="D4" t="s">
        <v>83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 t="s">
        <v>88</v>
      </c>
      <c r="E5" t="s">
        <v>89</v>
      </c>
    </row>
    <row r="6" spans="1:5" x14ac:dyDescent="0.25">
      <c r="A6" t="s">
        <v>90</v>
      </c>
      <c r="B6" t="s">
        <v>91</v>
      </c>
      <c r="C6" t="s">
        <v>92</v>
      </c>
      <c r="D6" t="s">
        <v>93</v>
      </c>
      <c r="E6" t="s">
        <v>94</v>
      </c>
    </row>
    <row r="7" spans="1:5" x14ac:dyDescent="0.25">
      <c r="A7" t="s">
        <v>95</v>
      </c>
      <c r="B7" t="s">
        <v>96</v>
      </c>
      <c r="C7" t="s">
        <v>82</v>
      </c>
      <c r="D7" t="s">
        <v>97</v>
      </c>
      <c r="E7" t="s">
        <v>98</v>
      </c>
    </row>
    <row r="8" spans="1:5" x14ac:dyDescent="0.25">
      <c r="A8" t="s">
        <v>99</v>
      </c>
      <c r="B8" t="s">
        <v>100</v>
      </c>
      <c r="C8" t="s">
        <v>101</v>
      </c>
      <c r="D8" t="s">
        <v>102</v>
      </c>
      <c r="E8" t="s">
        <v>103</v>
      </c>
    </row>
    <row r="9" spans="1:5" x14ac:dyDescent="0.25">
      <c r="A9" t="s">
        <v>104</v>
      </c>
      <c r="B9" t="s">
        <v>105</v>
      </c>
      <c r="C9" t="s">
        <v>82</v>
      </c>
      <c r="D9" t="s">
        <v>82</v>
      </c>
      <c r="E9" t="s">
        <v>106</v>
      </c>
    </row>
    <row r="10" spans="1:5" x14ac:dyDescent="0.25">
      <c r="A10" t="s">
        <v>107</v>
      </c>
      <c r="B10" t="s">
        <v>46</v>
      </c>
      <c r="C10" t="s">
        <v>108</v>
      </c>
      <c r="D10" t="s">
        <v>109</v>
      </c>
      <c r="E10" t="s">
        <v>110</v>
      </c>
    </row>
    <row r="11" spans="1:5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</row>
    <row r="12" spans="1:5" x14ac:dyDescent="0.25">
      <c r="A12" t="s">
        <v>116</v>
      </c>
      <c r="B12" t="s">
        <v>117</v>
      </c>
      <c r="C12" t="s">
        <v>118</v>
      </c>
      <c r="D12" t="s">
        <v>97</v>
      </c>
      <c r="E12" t="s">
        <v>119</v>
      </c>
    </row>
    <row r="13" spans="1:5" x14ac:dyDescent="0.25">
      <c r="A13" t="s">
        <v>120</v>
      </c>
      <c r="B13" t="s">
        <v>121</v>
      </c>
      <c r="C13" t="s">
        <v>82</v>
      </c>
      <c r="D13" t="s">
        <v>88</v>
      </c>
      <c r="E13" t="s">
        <v>122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FormatPr defaultRowHeight="15" outlineLevelRow="0" outlineLevelCol="0" x14ac:dyDescent="55"/>
  <cols>
    <col min="1" max="1" width="80" customWidth="1"/>
  </cols>
  <sheetData>
    <row r="1" spans="1:1" x14ac:dyDescent="0.25">
      <c r="A1" s="28" t="s">
        <v>123</v>
      </c>
    </row>
    <row r="3" spans="1:1" x14ac:dyDescent="0.25">
      <c r="A3" t="s">
        <v>124</v>
      </c>
    </row>
    <row r="4" spans="1:1" x14ac:dyDescent="0.25">
      <c r="A4" s="30" t="s">
        <v>125</v>
      </c>
    </row>
    <row r="5" spans="1:1" x14ac:dyDescent="0.25">
      <c r="A5" t="s">
        <v>126</v>
      </c>
    </row>
    <row r="6" spans="1:1" x14ac:dyDescent="0.25">
      <c r="A6" t="s">
        <v>127</v>
      </c>
    </row>
    <row r="7" spans="1:1" x14ac:dyDescent="0.25">
      <c r="A7" t="s">
        <v>128</v>
      </c>
    </row>
    <row r="8" spans="1:1" x14ac:dyDescent="0.25">
      <c r="A8" t="s">
        <v>124</v>
      </c>
    </row>
    <row r="9" spans="1:1" x14ac:dyDescent="0.25">
      <c r="A9" s="30" t="s">
        <v>129</v>
      </c>
    </row>
    <row r="10" spans="1:1" x14ac:dyDescent="0.25">
      <c r="A10" t="s">
        <v>130</v>
      </c>
    </row>
    <row r="11" spans="1:1" x14ac:dyDescent="0.25">
      <c r="A11" t="s">
        <v>131</v>
      </c>
    </row>
    <row r="12" spans="1:1" x14ac:dyDescent="0.25">
      <c r="A12" t="s">
        <v>132</v>
      </c>
    </row>
    <row r="13" spans="1:1" x14ac:dyDescent="0.25">
      <c r="A13" t="s">
        <v>133</v>
      </c>
    </row>
    <row r="14" spans="1:1" x14ac:dyDescent="0.25">
      <c r="A14" t="s">
        <v>124</v>
      </c>
    </row>
    <row r="15" spans="1:1" x14ac:dyDescent="0.25">
      <c r="A15" s="30" t="s">
        <v>134</v>
      </c>
    </row>
    <row r="16" spans="1:1" x14ac:dyDescent="0.25">
      <c r="A16" t="s">
        <v>135</v>
      </c>
    </row>
    <row r="17" spans="1:1" x14ac:dyDescent="0.25">
      <c r="A17" t="s">
        <v>136</v>
      </c>
    </row>
    <row r="18" spans="1:1" x14ac:dyDescent="0.25">
      <c r="A18" t="s">
        <v>124</v>
      </c>
    </row>
    <row r="19" spans="1:1" x14ac:dyDescent="0.25">
      <c r="A19" s="30" t="s">
        <v>137</v>
      </c>
    </row>
    <row r="20" spans="1:1" x14ac:dyDescent="0.25">
      <c r="A20" t="s">
        <v>138</v>
      </c>
    </row>
    <row r="21" spans="1:1" x14ac:dyDescent="0.25">
      <c r="A21" t="s">
        <v>124</v>
      </c>
    </row>
    <row r="22" spans="1:1" x14ac:dyDescent="0.25">
      <c r="A22" s="30" t="s">
        <v>139</v>
      </c>
    </row>
    <row r="23" spans="1:1" x14ac:dyDescent="0.25">
      <c r="A23" t="s">
        <v>140</v>
      </c>
    </row>
    <row r="24" spans="1:1" x14ac:dyDescent="0.25">
      <c r="A24" t="s">
        <v>141</v>
      </c>
    </row>
    <row r="25" spans="1:1" x14ac:dyDescent="0.25">
      <c r="A25" t="s">
        <v>142</v>
      </c>
    </row>
    <row r="26" spans="1:1" x14ac:dyDescent="0.25">
      <c r="A26" t="s">
        <v>124</v>
      </c>
    </row>
    <row r="27" spans="1:1" x14ac:dyDescent="0.25">
      <c r="A27" s="30" t="s">
        <v>143</v>
      </c>
    </row>
    <row r="28" spans="1:1" x14ac:dyDescent="0.25">
      <c r="A28" t="s">
        <v>144</v>
      </c>
    </row>
    <row r="29" spans="1:1" x14ac:dyDescent="0.25">
      <c r="A29" t="s">
        <v>124</v>
      </c>
    </row>
    <row r="30" spans="1:1" x14ac:dyDescent="0.25">
      <c r="A30" s="30" t="s">
        <v>145</v>
      </c>
    </row>
    <row r="31" spans="1:1" x14ac:dyDescent="0.25">
      <c r="A31" t="s">
        <v>146</v>
      </c>
    </row>
    <row r="32" spans="1:1" x14ac:dyDescent="0.25">
      <c r="A32" t="s">
        <v>147</v>
      </c>
    </row>
    <row r="33" spans="1:1" x14ac:dyDescent="0.25">
      <c r="A33" t="s">
        <v>124</v>
      </c>
    </row>
    <row r="34" spans="1:1" x14ac:dyDescent="0.25">
      <c r="A34" s="30" t="s">
        <v>148</v>
      </c>
    </row>
    <row r="35" spans="1:1" x14ac:dyDescent="0.25">
      <c r="A35" t="s">
        <v>149</v>
      </c>
    </row>
    <row r="36" spans="1:1" x14ac:dyDescent="0.25">
      <c r="A36" t="s">
        <v>150</v>
      </c>
    </row>
    <row r="37" spans="1:1" x14ac:dyDescent="0.25">
      <c r="A37" t="s">
        <v>151</v>
      </c>
    </row>
    <row r="38" spans="1:1" x14ac:dyDescent="0.25">
      <c r="A38" t="s">
        <v>124</v>
      </c>
    </row>
    <row r="39" spans="1:1" x14ac:dyDescent="0.25">
      <c r="A39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Calculadora</vt:lpstr>
      <vt:lpstr>Aranceles Comunes</vt:lpstr>
      <vt:lpstr>Guía de Uso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2026-02-24T00:08:08Z</dcterms:created>
  <dcterms:modified xsi:type="dcterms:W3CDTF">2026-02-24T00:08:08Z</dcterms:modified>
</cp:coreProperties>
</file>